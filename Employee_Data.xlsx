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b2a076277c600a7/Desktop/DATA ANALYST IMP/"/>
    </mc:Choice>
  </mc:AlternateContent>
  <xr:revisionPtr revIDLastSave="63" documentId="8_{250A09AD-2778-4747-AF16-53FF3C1A728E}" xr6:coauthVersionLast="47" xr6:coauthVersionMax="47" xr10:uidLastSave="{4F86363B-7B72-4B28-A261-F5DF8A4B8D7A}"/>
  <bookViews>
    <workbookView xWindow="0" yWindow="0" windowWidth="23040" windowHeight="12960" activeTab="2" xr2:uid="{00A44B91-DC1D-4C4D-8C9E-5AEF95B3361A}"/>
  </bookViews>
  <sheets>
    <sheet name="Employee Details " sheetId="1" r:id="rId1"/>
    <sheet name="Monthly Sales" sheetId="2" r:id="rId2"/>
    <sheet name="Student Performanc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10" i="2" l="1"/>
  <c r="F8" i="2"/>
  <c r="F6" i="2"/>
  <c r="F4" i="2"/>
  <c r="H9" i="3"/>
  <c r="H7" i="3"/>
  <c r="H5" i="3"/>
  <c r="H3" i="3"/>
  <c r="D3" i="3"/>
  <c r="D4" i="3"/>
  <c r="D5" i="3"/>
  <c r="D6" i="3"/>
  <c r="D2" i="3"/>
</calcChain>
</file>

<file path=xl/sharedStrings.xml><?xml version="1.0" encoding="utf-8"?>
<sst xmlns="http://schemas.openxmlformats.org/spreadsheetml/2006/main" count="41" uniqueCount="34">
  <si>
    <t>Emp ID</t>
  </si>
  <si>
    <t>Name</t>
  </si>
  <si>
    <t>Department</t>
  </si>
  <si>
    <t>Salary</t>
  </si>
  <si>
    <t>Asha</t>
  </si>
  <si>
    <t>HR</t>
  </si>
  <si>
    <t>Kiran</t>
  </si>
  <si>
    <t>IT</t>
  </si>
  <si>
    <t>Manu</t>
  </si>
  <si>
    <t>Sales</t>
  </si>
  <si>
    <t>Neha</t>
  </si>
  <si>
    <t>Month</t>
  </si>
  <si>
    <t>Jan</t>
  </si>
  <si>
    <t>Feb</t>
  </si>
  <si>
    <t>Mar</t>
  </si>
  <si>
    <t>Apr</t>
  </si>
  <si>
    <t>May</t>
  </si>
  <si>
    <t>Find Total Sales using SUM</t>
  </si>
  <si>
    <t>Find Minimum Sales using MIN</t>
  </si>
  <si>
    <t>Find Maximum Sales using MAX</t>
  </si>
  <si>
    <t>Count number of months using COUNT</t>
  </si>
  <si>
    <t>Marks</t>
  </si>
  <si>
    <t>Result</t>
  </si>
  <si>
    <t>Anu</t>
  </si>
  <si>
    <t>Science</t>
  </si>
  <si>
    <t>Rahul</t>
  </si>
  <si>
    <t>Commerce</t>
  </si>
  <si>
    <t>Sneha</t>
  </si>
  <si>
    <t>Arjun</t>
  </si>
  <si>
    <t>Meena</t>
  </si>
  <si>
    <t>Use AVERAGE to find overall average marks</t>
  </si>
  <si>
    <t>Use COUNTIF to count students who scored ≥ 60</t>
  </si>
  <si>
    <t>Use SUMIF to calculate total marks of Science students</t>
  </si>
  <si>
    <t>Use AVERAGEIF to find average marks of Commerce students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</si>
</sst>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.6"/>
      <color rgb="FF212529"/>
      <name val="Consolas"/>
      <family val="3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1" xfId="0" applyBorder="1" applyAlignment="1">
      <alignment horizontal="right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8">
    <dxf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85335AE-D080-46D5-821D-FF17A7500458}" name="Table5" displayName="Table5" ref="A1:B6" totalsRowShown="0">
  <autoFilter ref="A1:B6" xr:uid="{B85335AE-D080-46D5-821D-FF17A7500458}"/>
  <tableColumns count="2">
    <tableColumn id="1" xr3:uid="{0B8E3C70-5AD2-4A5A-9045-F4CCB6AD476E}" name="Month" dataDxfId="1"/>
    <tableColumn id="2" xr3:uid="{2EAC6C1F-103C-4660-9133-EDC879A7C85D}" name="Sales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723E6BA-B405-4F68-8206-5F02583BAEFC}" name="Table3" displayName="Table3" ref="A1:D6" totalsRowShown="0" headerRowDxfId="2" dataDxfId="3">
  <autoFilter ref="A1:D6" xr:uid="{4723E6BA-B405-4F68-8206-5F02583BAEFC}"/>
  <tableColumns count="4">
    <tableColumn id="1" xr3:uid="{17C7B5F0-26BF-4794-BB91-050E2E3BCA9F}" name="Name" dataDxfId="7"/>
    <tableColumn id="2" xr3:uid="{B3F4D212-337A-4CA0-A567-74ADB718FB48}" name="Department" dataDxfId="6"/>
    <tableColumn id="3" xr3:uid="{C34BA6EF-1B14-44B5-B3CE-3CD13BC9CEB5}" name="Marks" dataDxfId="5"/>
    <tableColumn id="4" xr3:uid="{61BCD65F-A381-4DBB-AFE9-4A42989D6EF3}" name="Result" dataDxfId="4">
      <calculatedColumnFormula>IF(C2&gt;=50,"Pass","Loss")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AD055-2A4C-42E3-957C-4F8D50407F4F}">
  <dimension ref="A1:D5"/>
  <sheetViews>
    <sheetView workbookViewId="0">
      <selection activeCell="D14" sqref="D14"/>
    </sheetView>
  </sheetViews>
  <sheetFormatPr defaultRowHeight="14.4" x14ac:dyDescent="0.3"/>
  <cols>
    <col min="3" max="3" width="11.5546875" customWidth="1"/>
  </cols>
  <sheetData>
    <row r="1" spans="1:4" ht="15" thickBot="1" x14ac:dyDescent="0.35">
      <c r="A1" s="6" t="s">
        <v>0</v>
      </c>
      <c r="B1" s="6" t="s">
        <v>1</v>
      </c>
      <c r="C1" s="6" t="s">
        <v>2</v>
      </c>
      <c r="D1" s="6" t="s">
        <v>3</v>
      </c>
    </row>
    <row r="2" spans="1:4" ht="15" thickBot="1" x14ac:dyDescent="0.35">
      <c r="A2" s="5">
        <v>1</v>
      </c>
      <c r="B2" s="7" t="s">
        <v>4</v>
      </c>
      <c r="C2" s="7" t="s">
        <v>5</v>
      </c>
      <c r="D2" s="5">
        <v>25000</v>
      </c>
    </row>
    <row r="3" spans="1:4" ht="15" thickBot="1" x14ac:dyDescent="0.35">
      <c r="A3" s="5">
        <v>2</v>
      </c>
      <c r="B3" s="7" t="s">
        <v>6</v>
      </c>
      <c r="C3" s="7" t="s">
        <v>7</v>
      </c>
      <c r="D3" s="5">
        <v>40000</v>
      </c>
    </row>
    <row r="4" spans="1:4" ht="15" thickBot="1" x14ac:dyDescent="0.35">
      <c r="A4" s="5">
        <v>3</v>
      </c>
      <c r="B4" s="7" t="s">
        <v>8</v>
      </c>
      <c r="C4" s="7" t="s">
        <v>9</v>
      </c>
      <c r="D4" s="5">
        <v>30000</v>
      </c>
    </row>
    <row r="5" spans="1:4" ht="15" thickBot="1" x14ac:dyDescent="0.35">
      <c r="A5" s="5">
        <v>4</v>
      </c>
      <c r="B5" s="7" t="s">
        <v>10</v>
      </c>
      <c r="C5" s="7" t="s">
        <v>7</v>
      </c>
      <c r="D5" s="5">
        <v>45000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BC41B-423C-4665-83B0-1DB78BDDC47E}">
  <dimension ref="A1:F10"/>
  <sheetViews>
    <sheetView workbookViewId="0">
      <selection sqref="A1:B6"/>
    </sheetView>
  </sheetViews>
  <sheetFormatPr defaultRowHeight="14.4" x14ac:dyDescent="0.3"/>
  <cols>
    <col min="5" max="5" width="35.6640625" customWidth="1"/>
  </cols>
  <sheetData>
    <row r="1" spans="1:6" x14ac:dyDescent="0.3">
      <c r="A1" s="3" t="s">
        <v>11</v>
      </c>
      <c r="B1" s="2" t="s">
        <v>9</v>
      </c>
    </row>
    <row r="2" spans="1:6" x14ac:dyDescent="0.3">
      <c r="A2" s="4" t="s">
        <v>12</v>
      </c>
      <c r="B2" s="1">
        <v>10000</v>
      </c>
    </row>
    <row r="3" spans="1:6" x14ac:dyDescent="0.3">
      <c r="A3" s="4" t="s">
        <v>13</v>
      </c>
      <c r="B3" s="1">
        <v>15000</v>
      </c>
    </row>
    <row r="4" spans="1:6" x14ac:dyDescent="0.3">
      <c r="A4" s="4" t="s">
        <v>14</v>
      </c>
      <c r="B4" s="1">
        <v>12000</v>
      </c>
      <c r="E4" s="8" t="s">
        <v>17</v>
      </c>
      <c r="F4">
        <f>SUM(B2:B6)</f>
        <v>71000</v>
      </c>
    </row>
    <row r="5" spans="1:6" x14ac:dyDescent="0.3">
      <c r="A5" s="4" t="s">
        <v>15</v>
      </c>
      <c r="B5" s="1">
        <v>18000</v>
      </c>
    </row>
    <row r="6" spans="1:6" x14ac:dyDescent="0.3">
      <c r="A6" s="4" t="s">
        <v>16</v>
      </c>
      <c r="B6" s="1">
        <v>16000</v>
      </c>
      <c r="E6" s="8" t="s">
        <v>18</v>
      </c>
      <c r="F6">
        <f>MIN(B2:B6)</f>
        <v>10000</v>
      </c>
    </row>
    <row r="8" spans="1:6" x14ac:dyDescent="0.3">
      <c r="E8" s="8" t="s">
        <v>19</v>
      </c>
      <c r="F8">
        <f>MAX(B2:B6)</f>
        <v>18000</v>
      </c>
    </row>
    <row r="10" spans="1:6" x14ac:dyDescent="0.3">
      <c r="E10" s="8" t="s">
        <v>20</v>
      </c>
      <c r="F10">
        <f>COUNT(B2:B6)</f>
        <v>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5A0B1C-92C0-43CA-A67A-53121F5E6AD1}">
  <dimension ref="A1:H9"/>
  <sheetViews>
    <sheetView tabSelected="1" workbookViewId="0">
      <selection sqref="A1:D6"/>
    </sheetView>
  </sheetViews>
  <sheetFormatPr defaultRowHeight="14.4" x14ac:dyDescent="0.3"/>
  <cols>
    <col min="2" max="2" width="12.88671875" customWidth="1"/>
    <col min="7" max="7" width="58.109375" customWidth="1"/>
  </cols>
  <sheetData>
    <row r="1" spans="1:8" x14ac:dyDescent="0.3">
      <c r="A1" s="3" t="s">
        <v>1</v>
      </c>
      <c r="B1" s="3" t="s">
        <v>2</v>
      </c>
      <c r="C1" s="2" t="s">
        <v>21</v>
      </c>
      <c r="D1" s="3" t="s">
        <v>22</v>
      </c>
    </row>
    <row r="2" spans="1:8" x14ac:dyDescent="0.3">
      <c r="A2" s="4" t="s">
        <v>23</v>
      </c>
      <c r="B2" s="4" t="s">
        <v>24</v>
      </c>
      <c r="C2" s="1">
        <v>85</v>
      </c>
      <c r="D2" s="4" t="str">
        <f>IF(C2&gt;=50,"Pass","Loss")</f>
        <v>Pass</v>
      </c>
    </row>
    <row r="3" spans="1:8" x14ac:dyDescent="0.3">
      <c r="A3" s="4" t="s">
        <v>25</v>
      </c>
      <c r="B3" s="4" t="s">
        <v>26</v>
      </c>
      <c r="C3" s="1">
        <v>55</v>
      </c>
      <c r="D3" s="4" t="str">
        <f t="shared" ref="D3:D6" si="0">IF(C3&gt;=50,"Pass","Loss")</f>
        <v>Pass</v>
      </c>
      <c r="G3" s="8" t="s">
        <v>30</v>
      </c>
      <c r="H3">
        <f>AVERAGE(C2:C6)</f>
        <v>68</v>
      </c>
    </row>
    <row r="4" spans="1:8" x14ac:dyDescent="0.3">
      <c r="A4" s="4" t="s">
        <v>27</v>
      </c>
      <c r="B4" s="4" t="s">
        <v>24</v>
      </c>
      <c r="C4" s="1">
        <v>40</v>
      </c>
      <c r="D4" s="4" t="str">
        <f t="shared" si="0"/>
        <v>Loss</v>
      </c>
    </row>
    <row r="5" spans="1:8" x14ac:dyDescent="0.3">
      <c r="A5" s="4" t="s">
        <v>28</v>
      </c>
      <c r="B5" s="4" t="s">
        <v>26</v>
      </c>
      <c r="C5" s="1">
        <v>70</v>
      </c>
      <c r="D5" s="4" t="str">
        <f t="shared" si="0"/>
        <v>Pass</v>
      </c>
      <c r="G5" s="8" t="s">
        <v>31</v>
      </c>
      <c r="H5">
        <f>COUNTIF(C1:C6,"&gt;=60")</f>
        <v>3</v>
      </c>
    </row>
    <row r="6" spans="1:8" x14ac:dyDescent="0.3">
      <c r="A6" s="4" t="s">
        <v>29</v>
      </c>
      <c r="B6" s="4" t="s">
        <v>24</v>
      </c>
      <c r="C6" s="1">
        <v>90</v>
      </c>
      <c r="D6" s="4" t="str">
        <f t="shared" si="0"/>
        <v>Pass</v>
      </c>
    </row>
    <row r="7" spans="1:8" x14ac:dyDescent="0.3">
      <c r="G7" s="8" t="s">
        <v>32</v>
      </c>
      <c r="H7">
        <f>SUMIF(B2:B6,B2,C2:C6)</f>
        <v>215</v>
      </c>
    </row>
    <row r="9" spans="1:8" x14ac:dyDescent="0.3">
      <c r="G9" s="8" t="s">
        <v>33</v>
      </c>
      <c r="H9">
        <f>AVERAGEIF(B2:B6,B3,C2:C6)</f>
        <v>62.5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Employee Details </vt:lpstr>
      <vt:lpstr>Monthly Sales</vt:lpstr>
      <vt:lpstr>Student Performance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muhammed ramees</dc:creator>
  <cp:lastModifiedBy>muhammed ramees</cp:lastModifiedBy>
  <dcterms:created xsi:type="dcterms:W3CDTF">2026-09-14T19:30:24Z</dcterms:created>
  <dcterms:modified xsi:type="dcterms:W3CDTF">2026-09-14T20:15:22Z</dcterms:modified>
</cp:coreProperties>
</file>